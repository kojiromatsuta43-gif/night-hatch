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次集計" sheetId="1" state="visible" r:id="rId3"/>
    <sheet name="取引一覧" sheetId="2" state="visible" r:id="rId4"/>
    <sheet name="明細一覧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<sst xmlns="http://schemas.openxmlformats.org/spreadsheetml/2006/main" count="283" uniqueCount="110">
  <si>
    <t xml:space="preserve">日次集計</t>
  </si>
  <si>
    <r>
      <rPr>
        <sz val="9"/>
        <color rgb="FF5F594E"/>
        <rFont val="Noto Sans CJK SC"/>
        <family val="2"/>
      </rPr>
      <t xml:space="preserve">日付：</t>
    </r>
    <r>
      <rPr>
        <sz val="9"/>
        <color rgb="FF5F594E"/>
        <rFont val="Yu Gothic"/>
        <family val="0"/>
        <charset val="1"/>
      </rPr>
      <t xml:space="preserve">2026</t>
    </r>
    <r>
      <rPr>
        <sz val="9"/>
        <color rgb="FF5F594E"/>
        <rFont val="Noto Sans CJK SC"/>
        <family val="2"/>
      </rPr>
      <t xml:space="preserve">年</t>
    </r>
    <r>
      <rPr>
        <sz val="9"/>
        <color rgb="FF5F594E"/>
        <rFont val="Yu Gothic"/>
        <family val="0"/>
        <charset val="1"/>
      </rPr>
      <t xml:space="preserve">9</t>
    </r>
    <r>
      <rPr>
        <sz val="9"/>
        <color rgb="FF5F594E"/>
        <rFont val="Noto Sans CJK SC"/>
        <family val="2"/>
      </rPr>
      <t xml:space="preserve">月</t>
    </r>
    <r>
      <rPr>
        <sz val="9"/>
        <color rgb="FF5F594E"/>
        <rFont val="Yu Gothic"/>
        <family val="0"/>
        <charset val="1"/>
      </rPr>
      <t xml:space="preserve">30</t>
    </r>
    <r>
      <rPr>
        <sz val="9"/>
        <color rgb="FF5F594E"/>
        <rFont val="Noto Sans CJK SC"/>
        <family val="2"/>
      </rPr>
      <t xml:space="preserve">日　｜　</t>
    </r>
    <r>
      <rPr>
        <sz val="9"/>
        <color rgb="FF5F594E"/>
        <rFont val="Yu Gothic"/>
        <family val="0"/>
        <charset val="1"/>
      </rPr>
      <t xml:space="preserve">BRIDGE HATCH </t>
    </r>
    <r>
      <rPr>
        <sz val="9"/>
        <color rgb="FF5F594E"/>
        <rFont val="Noto Sans CJK SC"/>
        <family val="2"/>
      </rPr>
      <t xml:space="preserve">管理画面「月次レポート＞売上」より出力</t>
    </r>
  </si>
  <si>
    <t xml:space="preserve">※本書は売上集計表の見本（サンプル）です。記載のデータはすべて架空のものです。</t>
  </si>
  <si>
    <t xml:space="preserve">【集計結果】</t>
  </si>
  <si>
    <t xml:space="preserve">売上件数（件）</t>
  </si>
  <si>
    <t xml:space="preserve">売上高（税抜）</t>
  </si>
  <si>
    <r>
      <rPr>
        <sz val="9.5"/>
        <color rgb="FF141210"/>
        <rFont val="Noto Sans CJK SC"/>
        <family val="2"/>
      </rPr>
      <t xml:space="preserve">消費税等（</t>
    </r>
    <r>
      <rPr>
        <sz val="9.5"/>
        <color rgb="FF141210"/>
        <rFont val="Yu Gothic"/>
        <family val="0"/>
        <charset val="1"/>
      </rPr>
      <t xml:space="preserve">10%</t>
    </r>
    <r>
      <rPr>
        <sz val="9.5"/>
        <color rgb="FF141210"/>
        <rFont val="Noto Sans CJK SC"/>
        <family val="2"/>
      </rPr>
      <t xml:space="preserve">）</t>
    </r>
  </si>
  <si>
    <t xml:space="preserve">売上高（税込）</t>
  </si>
  <si>
    <t xml:space="preserve">うち 月額利用料（税込）</t>
  </si>
  <si>
    <t xml:space="preserve">うち ハニー追加購入（税込）</t>
  </si>
  <si>
    <t xml:space="preserve">【支払方法別】</t>
  </si>
  <si>
    <t xml:space="preserve">支払方法</t>
  </si>
  <si>
    <t xml:space="preserve">件数</t>
  </si>
  <si>
    <r>
      <rPr>
        <b val="true"/>
        <sz val="9.5"/>
        <color rgb="FFFFFFFF"/>
        <rFont val="Noto Sans CJK SC"/>
        <family val="2"/>
      </rPr>
      <t xml:space="preserve">税込金額</t>
    </r>
    <r>
      <rPr>
        <b val="true"/>
        <sz val="9.5"/>
        <color rgb="FFFFFFFF"/>
        <rFont val="Yu Gothic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円</t>
    </r>
    <r>
      <rPr>
        <b val="true"/>
        <sz val="9.5"/>
        <color rgb="FFFFFFFF"/>
        <rFont val="Yu Gothic"/>
        <family val="0"/>
        <charset val="1"/>
      </rPr>
      <t xml:space="preserve">)</t>
    </r>
  </si>
  <si>
    <t xml:space="preserve">銀行振込</t>
  </si>
  <si>
    <t xml:space="preserve">クレジットカード</t>
  </si>
  <si>
    <t xml:space="preserve">合計</t>
  </si>
  <si>
    <t xml:space="preserve">【区分別】</t>
  </si>
  <si>
    <t xml:space="preserve">区分</t>
  </si>
  <si>
    <r>
      <rPr>
        <b val="true"/>
        <sz val="9.5"/>
        <color rgb="FFFFFFFF"/>
        <rFont val="Noto Sans CJK SC"/>
        <family val="2"/>
      </rPr>
      <t xml:space="preserve">税抜</t>
    </r>
    <r>
      <rPr>
        <b val="true"/>
        <sz val="9.5"/>
        <color rgb="FFFFFFFF"/>
        <rFont val="Yu Gothic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円</t>
    </r>
    <r>
      <rPr>
        <b val="true"/>
        <sz val="9.5"/>
        <color rgb="FFFFFFFF"/>
        <rFont val="Yu Gothic"/>
        <family val="0"/>
        <charset val="1"/>
      </rPr>
      <t xml:space="preserve">)</t>
    </r>
  </si>
  <si>
    <r>
      <rPr>
        <b val="true"/>
        <sz val="9.5"/>
        <color rgb="FFFFFFFF"/>
        <rFont val="Noto Sans CJK SC"/>
        <family val="2"/>
      </rPr>
      <t xml:space="preserve">消費税</t>
    </r>
    <r>
      <rPr>
        <b val="true"/>
        <sz val="9.5"/>
        <color rgb="FFFFFFFF"/>
        <rFont val="Yu Gothic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円</t>
    </r>
    <r>
      <rPr>
        <b val="true"/>
        <sz val="9.5"/>
        <color rgb="FFFFFFFF"/>
        <rFont val="Yu Gothic"/>
        <family val="0"/>
        <charset val="1"/>
      </rPr>
      <t xml:space="preserve">)</t>
    </r>
  </si>
  <si>
    <r>
      <rPr>
        <b val="true"/>
        <sz val="9.5"/>
        <color rgb="FFFFFFFF"/>
        <rFont val="Noto Sans CJK SC"/>
        <family val="2"/>
      </rPr>
      <t xml:space="preserve">税込</t>
    </r>
    <r>
      <rPr>
        <b val="true"/>
        <sz val="9.5"/>
        <color rgb="FFFFFFFF"/>
        <rFont val="Yu Gothic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円</t>
    </r>
    <r>
      <rPr>
        <b val="true"/>
        <sz val="9.5"/>
        <color rgb="FFFFFFFF"/>
        <rFont val="Yu Gothic"/>
        <family val="0"/>
        <charset val="1"/>
      </rPr>
      <t xml:space="preserve">)</t>
    </r>
  </si>
  <si>
    <t xml:space="preserve">月額利用料</t>
  </si>
  <si>
    <t xml:space="preserve">ハニー追加購入</t>
  </si>
  <si>
    <t xml:space="preserve">取引一覧（精算結果）</t>
  </si>
  <si>
    <r>
      <rPr>
        <sz val="9"/>
        <color rgb="FF5F594E"/>
        <rFont val="Noto Sans CJK SC"/>
        <family val="2"/>
      </rPr>
      <t xml:space="preserve">対象日：</t>
    </r>
    <r>
      <rPr>
        <sz val="9"/>
        <color rgb="FF5F594E"/>
        <rFont val="Yu Gothic"/>
        <family val="0"/>
        <charset val="1"/>
      </rPr>
      <t xml:space="preserve">2026</t>
    </r>
    <r>
      <rPr>
        <sz val="9"/>
        <color rgb="FF5F594E"/>
        <rFont val="Noto Sans CJK SC"/>
        <family val="2"/>
      </rPr>
      <t xml:space="preserve">年</t>
    </r>
    <r>
      <rPr>
        <sz val="9"/>
        <color rgb="FF5F594E"/>
        <rFont val="Yu Gothic"/>
        <family val="0"/>
        <charset val="1"/>
      </rPr>
      <t xml:space="preserve">9</t>
    </r>
    <r>
      <rPr>
        <sz val="9"/>
        <color rgb="FF5F594E"/>
        <rFont val="Noto Sans CJK SC"/>
        <family val="2"/>
      </rPr>
      <t xml:space="preserve">月</t>
    </r>
    <r>
      <rPr>
        <sz val="9"/>
        <color rgb="FF5F594E"/>
        <rFont val="Yu Gothic"/>
        <family val="0"/>
        <charset val="1"/>
      </rPr>
      <t xml:space="preserve">30</t>
    </r>
    <r>
      <rPr>
        <sz val="9"/>
        <color rgb="FF5F594E"/>
        <rFont val="Noto Sans CJK SC"/>
        <family val="2"/>
      </rPr>
      <t xml:space="preserve">日　｜　</t>
    </r>
    <r>
      <rPr>
        <sz val="9"/>
        <color rgb="FF5F594E"/>
        <rFont val="Yu Gothic"/>
        <family val="0"/>
        <charset val="1"/>
      </rPr>
      <t xml:space="preserve">BRIDGE HATCH </t>
    </r>
    <r>
      <rPr>
        <sz val="9"/>
        <color rgb="FF5F594E"/>
        <rFont val="Noto Sans CJK SC"/>
        <family val="2"/>
      </rPr>
      <t xml:space="preserve">管理画面「月次レポート＞売上」より出力</t>
    </r>
  </si>
  <si>
    <t xml:space="preserve">NO</t>
  </si>
  <si>
    <t xml:space="preserve">取引日時</t>
  </si>
  <si>
    <r>
      <rPr>
        <b val="true"/>
        <sz val="9.5"/>
        <color rgb="FFFFFFFF"/>
        <rFont val="Noto Sans CJK SC"/>
        <family val="2"/>
      </rPr>
      <t xml:space="preserve">クライアント</t>
    </r>
    <r>
      <rPr>
        <b val="true"/>
        <sz val="9.5"/>
        <color rgb="FFFFFFFF"/>
        <rFont val="Yu Gothic"/>
        <family val="0"/>
        <charset val="1"/>
      </rPr>
      <t xml:space="preserve">ID</t>
    </r>
  </si>
  <si>
    <t xml:space="preserve">クライアント名</t>
  </si>
  <si>
    <t xml:space="preserve">プラン</t>
  </si>
  <si>
    <r>
      <rPr>
        <b val="true"/>
        <sz val="9.5"/>
        <color rgb="FFFFFFFF"/>
        <rFont val="Noto Sans CJK SC"/>
        <family val="2"/>
      </rPr>
      <t xml:space="preserve">税抜金額</t>
    </r>
    <r>
      <rPr>
        <b val="true"/>
        <sz val="9.5"/>
        <color rgb="FFFFFFFF"/>
        <rFont val="Yu Gothic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円</t>
    </r>
    <r>
      <rPr>
        <b val="true"/>
        <sz val="9.5"/>
        <color rgb="FFFFFFFF"/>
        <rFont val="Yu Gothic"/>
        <family val="0"/>
        <charset val="1"/>
      </rPr>
      <t xml:space="preserve">)</t>
    </r>
  </si>
  <si>
    <r>
      <rPr>
        <b val="true"/>
        <sz val="9.5"/>
        <color rgb="FFFFFFFF"/>
        <rFont val="Noto Sans CJK SC"/>
        <family val="2"/>
      </rPr>
      <t xml:space="preserve">消費税</t>
    </r>
    <r>
      <rPr>
        <b val="true"/>
        <sz val="9.5"/>
        <color rgb="FFFFFFFF"/>
        <rFont val="Yu Gothic"/>
        <family val="0"/>
        <charset val="1"/>
      </rPr>
      <t xml:space="preserve">(10%)(</t>
    </r>
    <r>
      <rPr>
        <b val="true"/>
        <sz val="9.5"/>
        <color rgb="FFFFFFFF"/>
        <rFont val="Noto Sans CJK SC"/>
        <family val="2"/>
      </rPr>
      <t xml:space="preserve">円</t>
    </r>
    <r>
      <rPr>
        <b val="true"/>
        <sz val="9.5"/>
        <color rgb="FFFFFFFF"/>
        <rFont val="Yu Gothic"/>
        <family val="0"/>
        <charset val="1"/>
      </rPr>
      <t xml:space="preserve">)</t>
    </r>
  </si>
  <si>
    <t xml:space="preserve">ステータス</t>
  </si>
  <si>
    <t xml:space="preserve">2026/09/30 09:12</t>
  </si>
  <si>
    <t xml:space="preserve">CL-0001</t>
  </si>
  <si>
    <t xml:space="preserve">株式会社サンプル商事</t>
  </si>
  <si>
    <t xml:space="preserve">プレミアム</t>
  </si>
  <si>
    <t xml:space="preserve">入金済</t>
  </si>
  <si>
    <t xml:space="preserve">2026/09/30 09:40</t>
  </si>
  <si>
    <t xml:space="preserve">CL-0002</t>
  </si>
  <si>
    <t xml:space="preserve">見本フーズ株式会社</t>
  </si>
  <si>
    <t xml:space="preserve">スタンダード</t>
  </si>
  <si>
    <t xml:space="preserve">2026/09/30 10:05</t>
  </si>
  <si>
    <t xml:space="preserve">CL-0003</t>
  </si>
  <si>
    <t xml:space="preserve">サンプル工業株式会社</t>
  </si>
  <si>
    <t xml:space="preserve">ライト</t>
  </si>
  <si>
    <t xml:space="preserve">決済済</t>
  </si>
  <si>
    <t xml:space="preserve">2026/09/30 10:31</t>
  </si>
  <si>
    <t xml:space="preserve">CL-0004</t>
  </si>
  <si>
    <t xml:space="preserve">株式会社モデルハウス</t>
  </si>
  <si>
    <t xml:space="preserve">2026/09/30 11:02</t>
  </si>
  <si>
    <t xml:space="preserve">-</t>
  </si>
  <si>
    <t xml:space="preserve">2026/09/30 11:47</t>
  </si>
  <si>
    <t xml:space="preserve">CL-0005</t>
  </si>
  <si>
    <t xml:space="preserve">ダミー物産株式会社</t>
  </si>
  <si>
    <t xml:space="preserve">入金待ち</t>
  </si>
  <si>
    <t xml:space="preserve">2026/09/30 13:15</t>
  </si>
  <si>
    <t xml:space="preserve">CL-0006</t>
  </si>
  <si>
    <t xml:space="preserve">株式会社テスト企画</t>
  </si>
  <si>
    <t xml:space="preserve">2026/09/30 13:58</t>
  </si>
  <si>
    <t xml:space="preserve">2026/09/30 14:22</t>
  </si>
  <si>
    <t xml:space="preserve">CL-0007</t>
  </si>
  <si>
    <t xml:space="preserve">見本堂株式会社</t>
  </si>
  <si>
    <t xml:space="preserve">2026/09/30 15:10</t>
  </si>
  <si>
    <t xml:space="preserve">CL-0008</t>
  </si>
  <si>
    <t xml:space="preserve">サンプル観光株式会社</t>
  </si>
  <si>
    <t xml:space="preserve">2026/09/30 15:44</t>
  </si>
  <si>
    <t xml:space="preserve">CL-0009</t>
  </si>
  <si>
    <t xml:space="preserve">株式会社ダミー製作所</t>
  </si>
  <si>
    <t xml:space="preserve">2026/09/30 16:20</t>
  </si>
  <si>
    <t xml:space="preserve">2026/09/30 17:05</t>
  </si>
  <si>
    <t xml:space="preserve">CL-0010</t>
  </si>
  <si>
    <t xml:space="preserve">モデル食品株式会社</t>
  </si>
  <si>
    <t xml:space="preserve">2026/09/30 17:38</t>
  </si>
  <si>
    <t xml:space="preserve">2026/09/30 18:02</t>
  </si>
  <si>
    <t xml:space="preserve">CL-0011</t>
  </si>
  <si>
    <t xml:space="preserve">株式会社サンプル印刷</t>
  </si>
  <si>
    <r>
      <rPr>
        <sz val="8.5"/>
        <color rgb="FF5F594E"/>
        <rFont val="Noto Sans CJK SC"/>
        <family val="2"/>
      </rPr>
      <t xml:space="preserve">※軽減税率（</t>
    </r>
    <r>
      <rPr>
        <sz val="8.5"/>
        <color rgb="FF5F594E"/>
        <rFont val="Yu Gothic"/>
        <family val="0"/>
        <charset val="1"/>
      </rPr>
      <t xml:space="preserve">8%</t>
    </r>
    <r>
      <rPr>
        <sz val="8.5"/>
        <color rgb="FF5F594E"/>
        <rFont val="Noto Sans CJK SC"/>
        <family val="2"/>
      </rPr>
      <t xml:space="preserve">）対象の取引はありません。すべて標準税率（</t>
    </r>
    <r>
      <rPr>
        <sz val="8.5"/>
        <color rgb="FF5F594E"/>
        <rFont val="Yu Gothic"/>
        <family val="0"/>
        <charset val="1"/>
      </rPr>
      <t xml:space="preserve">10%</t>
    </r>
    <r>
      <rPr>
        <sz val="8.5"/>
        <color rgb="FF5F594E"/>
        <rFont val="Noto Sans CJK SC"/>
        <family val="2"/>
      </rPr>
      <t xml:space="preserve">）です。</t>
    </r>
  </si>
  <si>
    <t xml:space="preserve">明細一覧</t>
  </si>
  <si>
    <r>
      <rPr>
        <sz val="9"/>
        <color rgb="FF5F594E"/>
        <rFont val="Noto Sans CJK SC"/>
        <family val="2"/>
      </rPr>
      <t xml:space="preserve">対象日：</t>
    </r>
    <r>
      <rPr>
        <sz val="9"/>
        <color rgb="FF5F594E"/>
        <rFont val="Yu Gothic"/>
        <family val="0"/>
        <charset val="1"/>
      </rPr>
      <t xml:space="preserve">2026</t>
    </r>
    <r>
      <rPr>
        <sz val="9"/>
        <color rgb="FF5F594E"/>
        <rFont val="Noto Sans CJK SC"/>
        <family val="2"/>
      </rPr>
      <t xml:space="preserve">年</t>
    </r>
    <r>
      <rPr>
        <sz val="9"/>
        <color rgb="FF5F594E"/>
        <rFont val="Yu Gothic"/>
        <family val="0"/>
        <charset val="1"/>
      </rPr>
      <t xml:space="preserve">9</t>
    </r>
    <r>
      <rPr>
        <sz val="9"/>
        <color rgb="FF5F594E"/>
        <rFont val="Noto Sans CJK SC"/>
        <family val="2"/>
      </rPr>
      <t xml:space="preserve">月</t>
    </r>
    <r>
      <rPr>
        <sz val="9"/>
        <color rgb="FF5F594E"/>
        <rFont val="Yu Gothic"/>
        <family val="0"/>
        <charset val="1"/>
      </rPr>
      <t xml:space="preserve">30</t>
    </r>
    <r>
      <rPr>
        <sz val="9"/>
        <color rgb="FF5F594E"/>
        <rFont val="Noto Sans CJK SC"/>
        <family val="2"/>
      </rPr>
      <t xml:space="preserve">日　｜　請求書番号つき明細（</t>
    </r>
    <r>
      <rPr>
        <sz val="9"/>
        <color rgb="FF5F594E"/>
        <rFont val="Yu Gothic"/>
        <family val="0"/>
        <charset val="1"/>
      </rPr>
      <t xml:space="preserve">BRIDGE HATCH </t>
    </r>
    <r>
      <rPr>
        <sz val="9"/>
        <color rgb="FF5F594E"/>
        <rFont val="Noto Sans CJK SC"/>
        <family val="2"/>
      </rPr>
      <t xml:space="preserve">請求書発行機能と連動）</t>
    </r>
  </si>
  <si>
    <t xml:space="preserve">請求書番号</t>
  </si>
  <si>
    <t xml:space="preserve">取引年月日</t>
  </si>
  <si>
    <t xml:space="preserve">摘要</t>
  </si>
  <si>
    <t xml:space="preserve">入金状況</t>
  </si>
  <si>
    <t xml:space="preserve">領収書</t>
  </si>
  <si>
    <t xml:space="preserve">INV-202609-0001</t>
  </si>
  <si>
    <t xml:space="preserve">2026/09/30</t>
  </si>
  <si>
    <r>
      <rPr>
        <sz val="9.5"/>
        <color rgb="FF141210"/>
        <rFont val="Yu Gothic"/>
        <family val="0"/>
        <charset val="1"/>
      </rPr>
      <t xml:space="preserve">BRIDGE HATCH </t>
    </r>
    <r>
      <rPr>
        <sz val="9.5"/>
        <color rgb="FF141210"/>
        <rFont val="Noto Sans CJK SC"/>
        <family val="2"/>
      </rPr>
      <t xml:space="preserve">ツール利用料（プレミアム・</t>
    </r>
    <r>
      <rPr>
        <sz val="9.5"/>
        <color rgb="FF141210"/>
        <rFont val="Yu Gothic"/>
        <family val="0"/>
        <charset val="1"/>
      </rPr>
      <t xml:space="preserve">2026</t>
    </r>
    <r>
      <rPr>
        <sz val="9.5"/>
        <color rgb="FF141210"/>
        <rFont val="Noto Sans CJK SC"/>
        <family val="2"/>
      </rPr>
      <t xml:space="preserve">年</t>
    </r>
    <r>
      <rPr>
        <sz val="9.5"/>
        <color rgb="FF141210"/>
        <rFont val="Yu Gothic"/>
        <family val="0"/>
        <charset val="1"/>
      </rPr>
      <t xml:space="preserve">9</t>
    </r>
    <r>
      <rPr>
        <sz val="9.5"/>
        <color rgb="FF141210"/>
        <rFont val="Noto Sans CJK SC"/>
        <family val="2"/>
      </rPr>
      <t xml:space="preserve">月分）</t>
    </r>
  </si>
  <si>
    <t xml:space="preserve">済</t>
  </si>
  <si>
    <t xml:space="preserve">発行済</t>
  </si>
  <si>
    <t xml:space="preserve">INV-202609-0002</t>
  </si>
  <si>
    <r>
      <rPr>
        <sz val="9.5"/>
        <color rgb="FF141210"/>
        <rFont val="Yu Gothic"/>
        <family val="0"/>
        <charset val="1"/>
      </rPr>
      <t xml:space="preserve">BRIDGE HATCH </t>
    </r>
    <r>
      <rPr>
        <sz val="9.5"/>
        <color rgb="FF141210"/>
        <rFont val="Noto Sans CJK SC"/>
        <family val="2"/>
      </rPr>
      <t xml:space="preserve">ツール利用料（スタンダード・</t>
    </r>
    <r>
      <rPr>
        <sz val="9.5"/>
        <color rgb="FF141210"/>
        <rFont val="Yu Gothic"/>
        <family val="0"/>
        <charset val="1"/>
      </rPr>
      <t xml:space="preserve">2026</t>
    </r>
    <r>
      <rPr>
        <sz val="9.5"/>
        <color rgb="FF141210"/>
        <rFont val="Noto Sans CJK SC"/>
        <family val="2"/>
      </rPr>
      <t xml:space="preserve">年</t>
    </r>
    <r>
      <rPr>
        <sz val="9.5"/>
        <color rgb="FF141210"/>
        <rFont val="Yu Gothic"/>
        <family val="0"/>
        <charset val="1"/>
      </rPr>
      <t xml:space="preserve">9</t>
    </r>
    <r>
      <rPr>
        <sz val="9.5"/>
        <color rgb="FF141210"/>
        <rFont val="Noto Sans CJK SC"/>
        <family val="2"/>
      </rPr>
      <t xml:space="preserve">月分）</t>
    </r>
  </si>
  <si>
    <t xml:space="preserve">INV-202609-0003</t>
  </si>
  <si>
    <r>
      <rPr>
        <sz val="9.5"/>
        <color rgb="FF141210"/>
        <rFont val="Yu Gothic"/>
        <family val="0"/>
        <charset val="1"/>
      </rPr>
      <t xml:space="preserve">BRIDGE HATCH </t>
    </r>
    <r>
      <rPr>
        <sz val="9.5"/>
        <color rgb="FF141210"/>
        <rFont val="Noto Sans CJK SC"/>
        <family val="2"/>
      </rPr>
      <t xml:space="preserve">ツール利用料（ライト・</t>
    </r>
    <r>
      <rPr>
        <sz val="9.5"/>
        <color rgb="FF141210"/>
        <rFont val="Yu Gothic"/>
        <family val="0"/>
        <charset val="1"/>
      </rPr>
      <t xml:space="preserve">2026</t>
    </r>
    <r>
      <rPr>
        <sz val="9.5"/>
        <color rgb="FF141210"/>
        <rFont val="Noto Sans CJK SC"/>
        <family val="2"/>
      </rPr>
      <t xml:space="preserve">年</t>
    </r>
    <r>
      <rPr>
        <sz val="9.5"/>
        <color rgb="FF141210"/>
        <rFont val="Yu Gothic"/>
        <family val="0"/>
        <charset val="1"/>
      </rPr>
      <t xml:space="preserve">9</t>
    </r>
    <r>
      <rPr>
        <sz val="9.5"/>
        <color rgb="FF141210"/>
        <rFont val="Noto Sans CJK SC"/>
        <family val="2"/>
      </rPr>
      <t xml:space="preserve">月分）</t>
    </r>
  </si>
  <si>
    <t xml:space="preserve">INV-202609-0004</t>
  </si>
  <si>
    <t xml:space="preserve">INV-202609-0005</t>
  </si>
  <si>
    <t xml:space="preserve">ハニー（ポイント）追加購入</t>
  </si>
  <si>
    <t xml:space="preserve">INV-202609-0006</t>
  </si>
  <si>
    <t xml:space="preserve">未</t>
  </si>
  <si>
    <t xml:space="preserve">INV-202609-0007</t>
  </si>
  <si>
    <t xml:space="preserve">INV-202609-0008</t>
  </si>
  <si>
    <t xml:space="preserve">INV-202609-0009</t>
  </si>
  <si>
    <t xml:space="preserve">INV-202609-0010</t>
  </si>
  <si>
    <t xml:space="preserve">INV-202609-0011</t>
  </si>
  <si>
    <t xml:space="preserve">INV-202609-0012</t>
  </si>
  <si>
    <t xml:space="preserve">INV-202609-0013</t>
  </si>
  <si>
    <t xml:space="preserve">INV-202609-0014</t>
  </si>
  <si>
    <t xml:space="preserve">INV-202609-0015</t>
  </si>
  <si>
    <r>
      <rPr>
        <sz val="8.5"/>
        <color rgb="FF5F594E"/>
        <rFont val="Noto Sans CJK SC"/>
        <family val="2"/>
      </rPr>
      <t xml:space="preserve">※軽減税率（</t>
    </r>
    <r>
      <rPr>
        <sz val="8.5"/>
        <color rgb="FF5F594E"/>
        <rFont val="Yu Gothic"/>
        <family val="0"/>
        <charset val="1"/>
      </rPr>
      <t xml:space="preserve">8%</t>
    </r>
    <r>
      <rPr>
        <sz val="8.5"/>
        <color rgb="FF5F594E"/>
        <rFont val="Noto Sans CJK SC"/>
        <family val="2"/>
      </rPr>
      <t xml:space="preserve">）対象の取引はありません。金額・名称はすべて架空のサンプルです。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</si>
</sst>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1210"/>
      <name val="Noto Sans CJK SC"/>
      <family val="2"/>
    </font>
    <font>
      <sz val="9"/>
      <color rgb="FF5F594E"/>
      <name val="Noto Sans CJK SC"/>
      <family val="2"/>
    </font>
    <font>
      <sz val="9"/>
      <color rgb="FF5F594E"/>
      <name val="Yu Gothic"/>
      <family val="0"/>
      <charset val="1"/>
    </font>
    <font>
      <b val="true"/>
      <sz val="9"/>
      <color rgb="FFC0392B"/>
      <name val="Noto Sans CJK SC"/>
      <family val="2"/>
    </font>
    <font>
      <b val="true"/>
      <sz val="10"/>
      <name val="Noto Sans CJK SC"/>
      <family val="2"/>
    </font>
    <font>
      <sz val="9.5"/>
      <color rgb="FF141210"/>
      <name val="Noto Sans CJK SC"/>
      <family val="2"/>
    </font>
    <font>
      <sz val="9.5"/>
      <color rgb="FF141210"/>
      <name val="Yu Gothic"/>
      <family val="0"/>
      <charset val="1"/>
    </font>
    <font>
      <b val="true"/>
      <sz val="9.5"/>
      <color rgb="FF141210"/>
      <name val="Yu Gothic"/>
      <family val="0"/>
      <charset val="1"/>
    </font>
    <font>
      <b val="true"/>
      <sz val="9.5"/>
      <color rgb="FFFFFFFF"/>
      <name val="Noto Sans CJK SC"/>
      <family val="2"/>
    </font>
    <font>
      <b val="true"/>
      <sz val="9.5"/>
      <color rgb="FFFFFFFF"/>
      <name val="Yu Gothic"/>
      <family val="0"/>
      <charset val="1"/>
    </font>
    <font>
      <b val="true"/>
      <sz val="9.5"/>
      <color rgb="FF141210"/>
      <name val="Noto Sans CJK SC"/>
      <family val="2"/>
    </font>
    <font>
      <sz val="8.5"/>
      <color rgb="FF5F594E"/>
      <name val="Noto Sans CJK SC"/>
      <family val="2"/>
    </font>
    <font>
      <sz val="8.5"/>
      <color rgb="FF5F594E"/>
      <name val="Yu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5F0E1"/>
        <bgColor rgb="FFFFFFFF"/>
      </patternFill>
    </fill>
    <fill>
      <patternFill patternType="solid">
        <fgColor rgb="FFFFC62E"/>
        <bgColor rgb="FFFFCC99"/>
      </patternFill>
    </fill>
    <fill>
      <patternFill patternType="solid">
        <fgColor rgb="FF141210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2"/>
      <rgbColor rgb="FF808080"/>
      <rgbColor rgb="FF9999FF"/>
      <rgbColor rgb="FF993366"/>
      <rgbColor rgb="FFF5F0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62E"/>
      <rgbColor rgb="FFFF9900"/>
      <rgbColor rgb="FFFF6600"/>
      <rgbColor rgb="FF5F594E"/>
      <rgbColor rgb="FF969696"/>
      <rgbColor rgb="FF003366"/>
      <rgbColor rgb="FF339966"/>
      <rgbColor rgb="FF14121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5" min="3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f aca="false">COUNT(取引一覧!A6:A20)</f>
        <v>15</v>
      </c>
    </row>
    <row r="7" customFormat="false" ht="15" hidden="false" customHeight="false" outlineLevel="0" collapsed="false">
      <c r="A7" s="7" t="s">
        <v>5</v>
      </c>
      <c r="B7" s="6" t="n">
        <f aca="false">取引一覧!G21</f>
        <v>1898000</v>
      </c>
    </row>
    <row r="8" customFormat="false" ht="15" hidden="false" customHeight="false" outlineLevel="0" collapsed="false">
      <c r="A8" s="7" t="s">
        <v>6</v>
      </c>
      <c r="B8" s="6" t="n">
        <f aca="false">取引一覧!H21</f>
        <v>189800</v>
      </c>
    </row>
    <row r="9" customFormat="false" ht="15" hidden="false" customHeight="false" outlineLevel="0" collapsed="false">
      <c r="A9" s="7" t="s">
        <v>7</v>
      </c>
      <c r="B9" s="8" t="n">
        <f aca="false">取引一覧!I21</f>
        <v>2087800</v>
      </c>
    </row>
    <row r="10" customFormat="false" ht="15" hidden="false" customHeight="false" outlineLevel="0" collapsed="false">
      <c r="A10" s="5" t="s">
        <v>8</v>
      </c>
      <c r="B10" s="6" t="n">
        <f aca="false">SUMIFS(取引一覧!I6:I20,取引一覧!E6:E20,"月額利用料")</f>
        <v>1870000</v>
      </c>
    </row>
    <row r="11" customFormat="false" ht="15" hidden="false" customHeight="false" outlineLevel="0" collapsed="false">
      <c r="A11" s="5" t="s">
        <v>9</v>
      </c>
      <c r="B11" s="6" t="n">
        <f aca="false">SUMIFS(取引一覧!I6:I20,取引一覧!E6:E20,"ハニー追加購入")</f>
        <v>217800</v>
      </c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9" t="s">
        <v>11</v>
      </c>
      <c r="B15" s="9" t="s">
        <v>12</v>
      </c>
      <c r="C15" s="9" t="s">
        <v>13</v>
      </c>
    </row>
    <row r="16" customFormat="false" ht="15" hidden="false" customHeight="false" outlineLevel="0" collapsed="false">
      <c r="A16" s="5" t="s">
        <v>14</v>
      </c>
      <c r="B16" s="6" t="n">
        <f aca="false">COUNTIF(取引一覧!J6:J20,"銀行振込")</f>
        <v>8</v>
      </c>
      <c r="C16" s="6" t="n">
        <f aca="false">SUMIFS(取引一覧!I6:I20,取引一覧!J6:J20,"銀行振込")</f>
        <v>1606000</v>
      </c>
    </row>
    <row r="17" customFormat="false" ht="15" hidden="false" customHeight="false" outlineLevel="0" collapsed="false">
      <c r="A17" s="5" t="s">
        <v>15</v>
      </c>
      <c r="B17" s="6" t="n">
        <f aca="false">COUNTIF(取引一覧!J6:J20,"クレジットカード")</f>
        <v>7</v>
      </c>
      <c r="C17" s="6" t="n">
        <f aca="false">SUMIFS(取引一覧!I6:I20,取引一覧!J6:J20,"クレジットカード")</f>
        <v>481800</v>
      </c>
    </row>
    <row r="18" customFormat="false" ht="15" hidden="false" customHeight="false" outlineLevel="0" collapsed="false">
      <c r="A18" s="10" t="s">
        <v>16</v>
      </c>
      <c r="B18" s="11" t="n">
        <f aca="false">SUM(B16:B17)</f>
        <v>15</v>
      </c>
      <c r="C18" s="11" t="n">
        <f aca="false">SUM(C16:C17)</f>
        <v>2087800</v>
      </c>
    </row>
    <row r="21" customFormat="false" ht="15" hidden="false" customHeight="false" outlineLevel="0" collapsed="false">
      <c r="A21" s="4" t="s">
        <v>17</v>
      </c>
    </row>
    <row r="22" customFormat="false" ht="15" hidden="false" customHeight="false" outlineLevel="0" collapsed="false">
      <c r="A22" s="9" t="s">
        <v>18</v>
      </c>
      <c r="B22" s="9" t="s">
        <v>12</v>
      </c>
      <c r="C22" s="9" t="s">
        <v>19</v>
      </c>
      <c r="D22" s="9" t="s">
        <v>20</v>
      </c>
      <c r="E22" s="9" t="s">
        <v>21</v>
      </c>
    </row>
    <row r="23" customFormat="false" ht="15" hidden="false" customHeight="false" outlineLevel="0" collapsed="false">
      <c r="A23" s="5" t="s">
        <v>22</v>
      </c>
      <c r="B23" s="6" t="n">
        <f aca="false">COUNTIF(取引一覧!E6:E20,"月額利用料")</f>
        <v>11</v>
      </c>
      <c r="C23" s="6" t="n">
        <f aca="false">SUMIFS(取引一覧!G6:G20,取引一覧!E6:E20,"月額利用料")</f>
        <v>1700000</v>
      </c>
      <c r="D23" s="6" t="n">
        <f aca="false">SUMIFS(取引一覧!H6:H20,取引一覧!E6:E20,"月額利用料")</f>
        <v>170000</v>
      </c>
      <c r="E23" s="6" t="n">
        <f aca="false">SUMIFS(取引一覧!I6:I20,取引一覧!E6:E20,"月額利用料")</f>
        <v>1870000</v>
      </c>
    </row>
    <row r="24" customFormat="false" ht="15" hidden="false" customHeight="false" outlineLevel="0" collapsed="false">
      <c r="A24" s="5" t="s">
        <v>23</v>
      </c>
      <c r="B24" s="6" t="n">
        <f aca="false">COUNTIF(取引一覧!E6:E20,"ハニー追加購入")</f>
        <v>4</v>
      </c>
      <c r="C24" s="6" t="n">
        <f aca="false">SUMIFS(取引一覧!G6:G20,取引一覧!E6:E20,"ハニー追加購入")</f>
        <v>198000</v>
      </c>
      <c r="D24" s="6" t="n">
        <f aca="false">SUMIFS(取引一覧!H6:H20,取引一覧!E6:E20,"ハニー追加購入")</f>
        <v>19800</v>
      </c>
      <c r="E24" s="6" t="n">
        <f aca="false">SUMIFS(取引一覧!I6:I20,取引一覧!E6:E20,"ハニー追加購入")</f>
        <v>217800</v>
      </c>
    </row>
    <row r="25" customFormat="false" ht="15" hidden="false" customHeight="false" outlineLevel="0" collapsed="false">
      <c r="A25" s="10" t="s">
        <v>16</v>
      </c>
      <c r="B25" s="11" t="n">
        <f aca="false">SUM(B23:B24)</f>
        <v>15</v>
      </c>
      <c r="C25" s="11" t="n">
        <f aca="false">SUM(C23:C24)</f>
        <v>1898000</v>
      </c>
      <c r="D25" s="11" t="n">
        <f aca="false">SUM(D23:D24)</f>
        <v>189800</v>
      </c>
      <c r="E25" s="11" t="n">
        <f aca="false">SUM(E23:E24)</f>
        <v>2087800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0"/>
  </cols>
  <sheetData>
    <row r="1" customFormat="false" ht="19.7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12" t="s">
        <v>26</v>
      </c>
      <c r="B5" s="9" t="s">
        <v>27</v>
      </c>
      <c r="C5" s="9" t="s">
        <v>28</v>
      </c>
      <c r="D5" s="9" t="s">
        <v>29</v>
      </c>
      <c r="E5" s="9" t="s">
        <v>18</v>
      </c>
      <c r="F5" s="9" t="s">
        <v>30</v>
      </c>
      <c r="G5" s="9" t="s">
        <v>31</v>
      </c>
      <c r="H5" s="9" t="s">
        <v>32</v>
      </c>
      <c r="I5" s="9" t="s">
        <v>13</v>
      </c>
      <c r="J5" s="9" t="s">
        <v>11</v>
      </c>
      <c r="K5" s="9" t="s">
        <v>33</v>
      </c>
    </row>
    <row r="6" customFormat="false" ht="15" hidden="false" customHeight="false" outlineLevel="0" collapsed="false">
      <c r="A6" s="6" t="n">
        <v>1</v>
      </c>
      <c r="B6" s="13" t="s">
        <v>34</v>
      </c>
      <c r="C6" s="13" t="s">
        <v>35</v>
      </c>
      <c r="D6" s="5" t="s">
        <v>36</v>
      </c>
      <c r="E6" s="5" t="s">
        <v>22</v>
      </c>
      <c r="F6" s="5" t="s">
        <v>37</v>
      </c>
      <c r="G6" s="6" t="n">
        <v>200000</v>
      </c>
      <c r="H6" s="6" t="n">
        <f aca="false">ROUND(G6*0.1,0)</f>
        <v>20000</v>
      </c>
      <c r="I6" s="6" t="n">
        <f aca="false">G6+H6</f>
        <v>220000</v>
      </c>
      <c r="J6" s="5" t="s">
        <v>14</v>
      </c>
      <c r="K6" s="5" t="s">
        <v>38</v>
      </c>
    </row>
    <row r="7" customFormat="false" ht="15" hidden="false" customHeight="false" outlineLevel="0" collapsed="false">
      <c r="A7" s="6" t="n">
        <v>2</v>
      </c>
      <c r="B7" s="13" t="s">
        <v>39</v>
      </c>
      <c r="C7" s="13" t="s">
        <v>40</v>
      </c>
      <c r="D7" s="5" t="s">
        <v>41</v>
      </c>
      <c r="E7" s="5" t="s">
        <v>22</v>
      </c>
      <c r="F7" s="5" t="s">
        <v>42</v>
      </c>
      <c r="G7" s="6" t="n">
        <v>180000</v>
      </c>
      <c r="H7" s="6" t="n">
        <f aca="false">ROUND(G7*0.1,0)</f>
        <v>18000</v>
      </c>
      <c r="I7" s="6" t="n">
        <f aca="false">G7+H7</f>
        <v>198000</v>
      </c>
      <c r="J7" s="5" t="s">
        <v>14</v>
      </c>
      <c r="K7" s="5" t="s">
        <v>38</v>
      </c>
    </row>
    <row r="8" customFormat="false" ht="15" hidden="false" customHeight="false" outlineLevel="0" collapsed="false">
      <c r="A8" s="6" t="n">
        <v>3</v>
      </c>
      <c r="B8" s="13" t="s">
        <v>43</v>
      </c>
      <c r="C8" s="13" t="s">
        <v>44</v>
      </c>
      <c r="D8" s="5" t="s">
        <v>45</v>
      </c>
      <c r="E8" s="5" t="s">
        <v>22</v>
      </c>
      <c r="F8" s="5" t="s">
        <v>46</v>
      </c>
      <c r="G8" s="6" t="n">
        <v>60000</v>
      </c>
      <c r="H8" s="6" t="n">
        <f aca="false">ROUND(G8*0.1,0)</f>
        <v>6000</v>
      </c>
      <c r="I8" s="6" t="n">
        <f aca="false">G8+H8</f>
        <v>66000</v>
      </c>
      <c r="J8" s="5" t="s">
        <v>15</v>
      </c>
      <c r="K8" s="5" t="s">
        <v>47</v>
      </c>
    </row>
    <row r="9" customFormat="false" ht="15" hidden="false" customHeight="false" outlineLevel="0" collapsed="false">
      <c r="A9" s="6" t="n">
        <v>4</v>
      </c>
      <c r="B9" s="13" t="s">
        <v>48</v>
      </c>
      <c r="C9" s="13" t="s">
        <v>49</v>
      </c>
      <c r="D9" s="5" t="s">
        <v>50</v>
      </c>
      <c r="E9" s="5" t="s">
        <v>22</v>
      </c>
      <c r="F9" s="5" t="s">
        <v>37</v>
      </c>
      <c r="G9" s="6" t="n">
        <v>200000</v>
      </c>
      <c r="H9" s="6" t="n">
        <f aca="false">ROUND(G9*0.1,0)</f>
        <v>20000</v>
      </c>
      <c r="I9" s="6" t="n">
        <f aca="false">G9+H9</f>
        <v>220000</v>
      </c>
      <c r="J9" s="5" t="s">
        <v>14</v>
      </c>
      <c r="K9" s="5" t="s">
        <v>38</v>
      </c>
    </row>
    <row r="10" customFormat="false" ht="15" hidden="false" customHeight="false" outlineLevel="0" collapsed="false">
      <c r="A10" s="6" t="n">
        <v>5</v>
      </c>
      <c r="B10" s="13" t="s">
        <v>51</v>
      </c>
      <c r="C10" s="13" t="s">
        <v>40</v>
      </c>
      <c r="D10" s="5" t="s">
        <v>41</v>
      </c>
      <c r="E10" s="5" t="s">
        <v>23</v>
      </c>
      <c r="F10" s="13" t="s">
        <v>52</v>
      </c>
      <c r="G10" s="6" t="n">
        <v>60000</v>
      </c>
      <c r="H10" s="6" t="n">
        <f aca="false">ROUND(G10*0.1,0)</f>
        <v>6000</v>
      </c>
      <c r="I10" s="6" t="n">
        <f aca="false">G10+H10</f>
        <v>66000</v>
      </c>
      <c r="J10" s="5" t="s">
        <v>15</v>
      </c>
      <c r="K10" s="5" t="s">
        <v>47</v>
      </c>
    </row>
    <row r="11" customFormat="false" ht="15" hidden="false" customHeight="false" outlineLevel="0" collapsed="false">
      <c r="A11" s="6" t="n">
        <v>6</v>
      </c>
      <c r="B11" s="13" t="s">
        <v>53</v>
      </c>
      <c r="C11" s="13" t="s">
        <v>54</v>
      </c>
      <c r="D11" s="5" t="s">
        <v>55</v>
      </c>
      <c r="E11" s="5" t="s">
        <v>22</v>
      </c>
      <c r="F11" s="5" t="s">
        <v>42</v>
      </c>
      <c r="G11" s="6" t="n">
        <v>180000</v>
      </c>
      <c r="H11" s="6" t="n">
        <f aca="false">ROUND(G11*0.1,0)</f>
        <v>18000</v>
      </c>
      <c r="I11" s="6" t="n">
        <f aca="false">G11+H11</f>
        <v>198000</v>
      </c>
      <c r="J11" s="5" t="s">
        <v>14</v>
      </c>
      <c r="K11" s="5" t="s">
        <v>56</v>
      </c>
    </row>
    <row r="12" customFormat="false" ht="15" hidden="false" customHeight="false" outlineLevel="0" collapsed="false">
      <c r="A12" s="6" t="n">
        <v>7</v>
      </c>
      <c r="B12" s="13" t="s">
        <v>57</v>
      </c>
      <c r="C12" s="13" t="s">
        <v>58</v>
      </c>
      <c r="D12" s="5" t="s">
        <v>59</v>
      </c>
      <c r="E12" s="5" t="s">
        <v>22</v>
      </c>
      <c r="F12" s="5" t="s">
        <v>46</v>
      </c>
      <c r="G12" s="6" t="n">
        <v>60000</v>
      </c>
      <c r="H12" s="6" t="n">
        <f aca="false">ROUND(G12*0.1,0)</f>
        <v>6000</v>
      </c>
      <c r="I12" s="6" t="n">
        <f aca="false">G12+H12</f>
        <v>66000</v>
      </c>
      <c r="J12" s="5" t="s">
        <v>15</v>
      </c>
      <c r="K12" s="5" t="s">
        <v>47</v>
      </c>
    </row>
    <row r="13" customFormat="false" ht="15" hidden="false" customHeight="false" outlineLevel="0" collapsed="false">
      <c r="A13" s="6" t="n">
        <v>8</v>
      </c>
      <c r="B13" s="13" t="s">
        <v>60</v>
      </c>
      <c r="C13" s="13" t="s">
        <v>35</v>
      </c>
      <c r="D13" s="5" t="s">
        <v>36</v>
      </c>
      <c r="E13" s="5" t="s">
        <v>23</v>
      </c>
      <c r="F13" s="13" t="s">
        <v>52</v>
      </c>
      <c r="G13" s="6" t="n">
        <v>12000</v>
      </c>
      <c r="H13" s="6" t="n">
        <f aca="false">ROUND(G13*0.1,0)</f>
        <v>1200</v>
      </c>
      <c r="I13" s="6" t="n">
        <f aca="false">G13+H13</f>
        <v>13200</v>
      </c>
      <c r="J13" s="5" t="s">
        <v>15</v>
      </c>
      <c r="K13" s="5" t="s">
        <v>47</v>
      </c>
    </row>
    <row r="14" customFormat="false" ht="15" hidden="false" customHeight="false" outlineLevel="0" collapsed="false">
      <c r="A14" s="6" t="n">
        <v>9</v>
      </c>
      <c r="B14" s="13" t="s">
        <v>61</v>
      </c>
      <c r="C14" s="13" t="s">
        <v>62</v>
      </c>
      <c r="D14" s="5" t="s">
        <v>63</v>
      </c>
      <c r="E14" s="5" t="s">
        <v>22</v>
      </c>
      <c r="F14" s="5" t="s">
        <v>37</v>
      </c>
      <c r="G14" s="6" t="n">
        <v>200000</v>
      </c>
      <c r="H14" s="6" t="n">
        <f aca="false">ROUND(G14*0.1,0)</f>
        <v>20000</v>
      </c>
      <c r="I14" s="6" t="n">
        <f aca="false">G14+H14</f>
        <v>220000</v>
      </c>
      <c r="J14" s="5" t="s">
        <v>14</v>
      </c>
      <c r="K14" s="5" t="s">
        <v>38</v>
      </c>
    </row>
    <row r="15" customFormat="false" ht="15" hidden="false" customHeight="false" outlineLevel="0" collapsed="false">
      <c r="A15" s="6" t="n">
        <v>10</v>
      </c>
      <c r="B15" s="13" t="s">
        <v>64</v>
      </c>
      <c r="C15" s="13" t="s">
        <v>65</v>
      </c>
      <c r="D15" s="5" t="s">
        <v>66</v>
      </c>
      <c r="E15" s="5" t="s">
        <v>22</v>
      </c>
      <c r="F15" s="5" t="s">
        <v>42</v>
      </c>
      <c r="G15" s="6" t="n">
        <v>180000</v>
      </c>
      <c r="H15" s="6" t="n">
        <f aca="false">ROUND(G15*0.1,0)</f>
        <v>18000</v>
      </c>
      <c r="I15" s="6" t="n">
        <f aca="false">G15+H15</f>
        <v>198000</v>
      </c>
      <c r="J15" s="5" t="s">
        <v>14</v>
      </c>
      <c r="K15" s="5" t="s">
        <v>38</v>
      </c>
    </row>
    <row r="16" customFormat="false" ht="15" hidden="false" customHeight="false" outlineLevel="0" collapsed="false">
      <c r="A16" s="6" t="n">
        <v>11</v>
      </c>
      <c r="B16" s="13" t="s">
        <v>67</v>
      </c>
      <c r="C16" s="13" t="s">
        <v>68</v>
      </c>
      <c r="D16" s="5" t="s">
        <v>69</v>
      </c>
      <c r="E16" s="5" t="s">
        <v>22</v>
      </c>
      <c r="F16" s="5" t="s">
        <v>46</v>
      </c>
      <c r="G16" s="6" t="n">
        <v>60000</v>
      </c>
      <c r="H16" s="6" t="n">
        <f aca="false">ROUND(G16*0.1,0)</f>
        <v>6000</v>
      </c>
      <c r="I16" s="6" t="n">
        <f aca="false">G16+H16</f>
        <v>66000</v>
      </c>
      <c r="J16" s="5" t="s">
        <v>15</v>
      </c>
      <c r="K16" s="5" t="s">
        <v>47</v>
      </c>
    </row>
    <row r="17" customFormat="false" ht="15" hidden="false" customHeight="false" outlineLevel="0" collapsed="false">
      <c r="A17" s="6" t="n">
        <v>12</v>
      </c>
      <c r="B17" s="13" t="s">
        <v>70</v>
      </c>
      <c r="C17" s="13" t="s">
        <v>44</v>
      </c>
      <c r="D17" s="5" t="s">
        <v>45</v>
      </c>
      <c r="E17" s="5" t="s">
        <v>23</v>
      </c>
      <c r="F17" s="13" t="s">
        <v>52</v>
      </c>
      <c r="G17" s="6" t="n">
        <v>120000</v>
      </c>
      <c r="H17" s="6" t="n">
        <f aca="false">ROUND(G17*0.1,0)</f>
        <v>12000</v>
      </c>
      <c r="I17" s="6" t="n">
        <f aca="false">G17+H17</f>
        <v>132000</v>
      </c>
      <c r="J17" s="5" t="s">
        <v>14</v>
      </c>
      <c r="K17" s="5" t="s">
        <v>38</v>
      </c>
    </row>
    <row r="18" customFormat="false" ht="15" hidden="false" customHeight="false" outlineLevel="0" collapsed="false">
      <c r="A18" s="6" t="n">
        <v>13</v>
      </c>
      <c r="B18" s="13" t="s">
        <v>71</v>
      </c>
      <c r="C18" s="13" t="s">
        <v>72</v>
      </c>
      <c r="D18" s="5" t="s">
        <v>73</v>
      </c>
      <c r="E18" s="5" t="s">
        <v>22</v>
      </c>
      <c r="F18" s="5" t="s">
        <v>37</v>
      </c>
      <c r="G18" s="6" t="n">
        <v>200000</v>
      </c>
      <c r="H18" s="6" t="n">
        <f aca="false">ROUND(G18*0.1,0)</f>
        <v>20000</v>
      </c>
      <c r="I18" s="6" t="n">
        <f aca="false">G18+H18</f>
        <v>220000</v>
      </c>
      <c r="J18" s="5" t="s">
        <v>14</v>
      </c>
      <c r="K18" s="5" t="s">
        <v>38</v>
      </c>
    </row>
    <row r="19" customFormat="false" ht="15" hidden="false" customHeight="false" outlineLevel="0" collapsed="false">
      <c r="A19" s="6" t="n">
        <v>14</v>
      </c>
      <c r="B19" s="13" t="s">
        <v>74</v>
      </c>
      <c r="C19" s="13" t="s">
        <v>49</v>
      </c>
      <c r="D19" s="5" t="s">
        <v>50</v>
      </c>
      <c r="E19" s="5" t="s">
        <v>23</v>
      </c>
      <c r="F19" s="13" t="s">
        <v>52</v>
      </c>
      <c r="G19" s="6" t="n">
        <v>6000</v>
      </c>
      <c r="H19" s="6" t="n">
        <f aca="false">ROUND(G19*0.1,0)</f>
        <v>600</v>
      </c>
      <c r="I19" s="6" t="n">
        <f aca="false">G19+H19</f>
        <v>6600</v>
      </c>
      <c r="J19" s="5" t="s">
        <v>15</v>
      </c>
      <c r="K19" s="5" t="s">
        <v>47</v>
      </c>
    </row>
    <row r="20" customFormat="false" ht="15" hidden="false" customHeight="false" outlineLevel="0" collapsed="false">
      <c r="A20" s="6" t="n">
        <v>15</v>
      </c>
      <c r="B20" s="13" t="s">
        <v>75</v>
      </c>
      <c r="C20" s="13" t="s">
        <v>76</v>
      </c>
      <c r="D20" s="5" t="s">
        <v>77</v>
      </c>
      <c r="E20" s="5" t="s">
        <v>22</v>
      </c>
      <c r="F20" s="5" t="s">
        <v>42</v>
      </c>
      <c r="G20" s="6" t="n">
        <v>180000</v>
      </c>
      <c r="H20" s="6" t="n">
        <f aca="false">ROUND(G20*0.1,0)</f>
        <v>18000</v>
      </c>
      <c r="I20" s="6" t="n">
        <f aca="false">G20+H20</f>
        <v>198000</v>
      </c>
      <c r="J20" s="5" t="s">
        <v>15</v>
      </c>
      <c r="K20" s="5" t="s">
        <v>47</v>
      </c>
    </row>
    <row r="21" customFormat="false" ht="15" hidden="false" customHeight="false" outlineLevel="0" collapsed="false">
      <c r="F21" s="10" t="s">
        <v>16</v>
      </c>
      <c r="G21" s="11" t="n">
        <f aca="false">SUM(G6:G20)</f>
        <v>1898000</v>
      </c>
      <c r="H21" s="11" t="n">
        <f aca="false">SUM(H6:H20)</f>
        <v>189800</v>
      </c>
      <c r="I21" s="11" t="n">
        <f aca="false">SUM(I6:I20)</f>
        <v>2087800</v>
      </c>
    </row>
    <row r="23" customFormat="false" ht="15" hidden="false" customHeight="false" outlineLevel="0" collapsed="false">
      <c r="A23" s="14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1" min="10" style="0" width="9"/>
  </cols>
  <sheetData>
    <row r="1" customFormat="false" ht="19.7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9" t="s">
        <v>81</v>
      </c>
      <c r="B5" s="9" t="s">
        <v>28</v>
      </c>
      <c r="C5" s="9" t="s">
        <v>82</v>
      </c>
      <c r="D5" s="9" t="s">
        <v>18</v>
      </c>
      <c r="E5" s="9" t="s">
        <v>83</v>
      </c>
      <c r="F5" s="9" t="s">
        <v>31</v>
      </c>
      <c r="G5" s="9" t="s">
        <v>32</v>
      </c>
      <c r="H5" s="9" t="s">
        <v>13</v>
      </c>
      <c r="I5" s="9" t="s">
        <v>11</v>
      </c>
      <c r="J5" s="9" t="s">
        <v>84</v>
      </c>
      <c r="K5" s="9" t="s">
        <v>85</v>
      </c>
    </row>
    <row r="6" customFormat="false" ht="15" hidden="false" customHeight="false" outlineLevel="0" collapsed="false">
      <c r="A6" s="13" t="s">
        <v>86</v>
      </c>
      <c r="B6" s="13" t="s">
        <v>35</v>
      </c>
      <c r="C6" s="13" t="s">
        <v>87</v>
      </c>
      <c r="D6" s="5" t="s">
        <v>22</v>
      </c>
      <c r="E6" s="13" t="s">
        <v>88</v>
      </c>
      <c r="F6" s="6" t="n">
        <f aca="false">取引一覧!G6</f>
        <v>200000</v>
      </c>
      <c r="G6" s="6" t="n">
        <f aca="false">取引一覧!H6</f>
        <v>20000</v>
      </c>
      <c r="H6" s="6" t="n">
        <f aca="false">取引一覧!I6</f>
        <v>220000</v>
      </c>
      <c r="I6" s="5" t="s">
        <v>14</v>
      </c>
      <c r="J6" s="5" t="s">
        <v>89</v>
      </c>
      <c r="K6" s="5" t="s">
        <v>90</v>
      </c>
    </row>
    <row r="7" customFormat="false" ht="15" hidden="false" customHeight="false" outlineLevel="0" collapsed="false">
      <c r="A7" s="13" t="s">
        <v>91</v>
      </c>
      <c r="B7" s="13" t="s">
        <v>40</v>
      </c>
      <c r="C7" s="13" t="s">
        <v>87</v>
      </c>
      <c r="D7" s="5" t="s">
        <v>22</v>
      </c>
      <c r="E7" s="13" t="s">
        <v>92</v>
      </c>
      <c r="F7" s="6" t="n">
        <f aca="false">取引一覧!G7</f>
        <v>180000</v>
      </c>
      <c r="G7" s="6" t="n">
        <f aca="false">取引一覧!H7</f>
        <v>18000</v>
      </c>
      <c r="H7" s="6" t="n">
        <f aca="false">取引一覧!I7</f>
        <v>198000</v>
      </c>
      <c r="I7" s="5" t="s">
        <v>14</v>
      </c>
      <c r="J7" s="5" t="s">
        <v>89</v>
      </c>
      <c r="K7" s="5" t="s">
        <v>90</v>
      </c>
    </row>
    <row r="8" customFormat="false" ht="15" hidden="false" customHeight="false" outlineLevel="0" collapsed="false">
      <c r="A8" s="13" t="s">
        <v>93</v>
      </c>
      <c r="B8" s="13" t="s">
        <v>44</v>
      </c>
      <c r="C8" s="13" t="s">
        <v>87</v>
      </c>
      <c r="D8" s="5" t="s">
        <v>22</v>
      </c>
      <c r="E8" s="13" t="s">
        <v>94</v>
      </c>
      <c r="F8" s="6" t="n">
        <f aca="false">取引一覧!G8</f>
        <v>60000</v>
      </c>
      <c r="G8" s="6" t="n">
        <f aca="false">取引一覧!H8</f>
        <v>6000</v>
      </c>
      <c r="H8" s="6" t="n">
        <f aca="false">取引一覧!I8</f>
        <v>66000</v>
      </c>
      <c r="I8" s="5" t="s">
        <v>15</v>
      </c>
      <c r="J8" s="5" t="s">
        <v>89</v>
      </c>
      <c r="K8" s="5" t="s">
        <v>90</v>
      </c>
    </row>
    <row r="9" customFormat="false" ht="15" hidden="false" customHeight="false" outlineLevel="0" collapsed="false">
      <c r="A9" s="13" t="s">
        <v>95</v>
      </c>
      <c r="B9" s="13" t="s">
        <v>49</v>
      </c>
      <c r="C9" s="13" t="s">
        <v>87</v>
      </c>
      <c r="D9" s="5" t="s">
        <v>22</v>
      </c>
      <c r="E9" s="13" t="s">
        <v>88</v>
      </c>
      <c r="F9" s="6" t="n">
        <f aca="false">取引一覧!G9</f>
        <v>200000</v>
      </c>
      <c r="G9" s="6" t="n">
        <f aca="false">取引一覧!H9</f>
        <v>20000</v>
      </c>
      <c r="H9" s="6" t="n">
        <f aca="false">取引一覧!I9</f>
        <v>220000</v>
      </c>
      <c r="I9" s="5" t="s">
        <v>14</v>
      </c>
      <c r="J9" s="5" t="s">
        <v>89</v>
      </c>
      <c r="K9" s="5" t="s">
        <v>90</v>
      </c>
    </row>
    <row r="10" customFormat="false" ht="15" hidden="false" customHeight="false" outlineLevel="0" collapsed="false">
      <c r="A10" s="13" t="s">
        <v>96</v>
      </c>
      <c r="B10" s="13" t="s">
        <v>40</v>
      </c>
      <c r="C10" s="13" t="s">
        <v>87</v>
      </c>
      <c r="D10" s="5" t="s">
        <v>23</v>
      </c>
      <c r="E10" s="5" t="s">
        <v>97</v>
      </c>
      <c r="F10" s="6" t="n">
        <f aca="false">取引一覧!G10</f>
        <v>60000</v>
      </c>
      <c r="G10" s="6" t="n">
        <f aca="false">取引一覧!H10</f>
        <v>6000</v>
      </c>
      <c r="H10" s="6" t="n">
        <f aca="false">取引一覧!I10</f>
        <v>66000</v>
      </c>
      <c r="I10" s="5" t="s">
        <v>15</v>
      </c>
      <c r="J10" s="5" t="s">
        <v>89</v>
      </c>
      <c r="K10" s="5" t="s">
        <v>90</v>
      </c>
    </row>
    <row r="11" customFormat="false" ht="15" hidden="false" customHeight="false" outlineLevel="0" collapsed="false">
      <c r="A11" s="13" t="s">
        <v>98</v>
      </c>
      <c r="B11" s="13" t="s">
        <v>54</v>
      </c>
      <c r="C11" s="13" t="s">
        <v>87</v>
      </c>
      <c r="D11" s="5" t="s">
        <v>22</v>
      </c>
      <c r="E11" s="13" t="s">
        <v>92</v>
      </c>
      <c r="F11" s="6" t="n">
        <f aca="false">取引一覧!G11</f>
        <v>180000</v>
      </c>
      <c r="G11" s="6" t="n">
        <f aca="false">取引一覧!H11</f>
        <v>18000</v>
      </c>
      <c r="H11" s="6" t="n">
        <f aca="false">取引一覧!I11</f>
        <v>198000</v>
      </c>
      <c r="I11" s="5" t="s">
        <v>14</v>
      </c>
      <c r="J11" s="5" t="s">
        <v>99</v>
      </c>
      <c r="K11" s="5" t="s">
        <v>90</v>
      </c>
    </row>
    <row r="12" customFormat="false" ht="15" hidden="false" customHeight="false" outlineLevel="0" collapsed="false">
      <c r="A12" s="13" t="s">
        <v>100</v>
      </c>
      <c r="B12" s="13" t="s">
        <v>58</v>
      </c>
      <c r="C12" s="13" t="s">
        <v>87</v>
      </c>
      <c r="D12" s="5" t="s">
        <v>22</v>
      </c>
      <c r="E12" s="13" t="s">
        <v>94</v>
      </c>
      <c r="F12" s="6" t="n">
        <f aca="false">取引一覧!G12</f>
        <v>60000</v>
      </c>
      <c r="G12" s="6" t="n">
        <f aca="false">取引一覧!H12</f>
        <v>6000</v>
      </c>
      <c r="H12" s="6" t="n">
        <f aca="false">取引一覧!I12</f>
        <v>66000</v>
      </c>
      <c r="I12" s="5" t="s">
        <v>15</v>
      </c>
      <c r="J12" s="5" t="s">
        <v>89</v>
      </c>
      <c r="K12" s="5" t="s">
        <v>90</v>
      </c>
    </row>
    <row r="13" customFormat="false" ht="15" hidden="false" customHeight="false" outlineLevel="0" collapsed="false">
      <c r="A13" s="13" t="s">
        <v>101</v>
      </c>
      <c r="B13" s="13" t="s">
        <v>35</v>
      </c>
      <c r="C13" s="13" t="s">
        <v>87</v>
      </c>
      <c r="D13" s="5" t="s">
        <v>23</v>
      </c>
      <c r="E13" s="5" t="s">
        <v>97</v>
      </c>
      <c r="F13" s="6" t="n">
        <f aca="false">取引一覧!G13</f>
        <v>12000</v>
      </c>
      <c r="G13" s="6" t="n">
        <f aca="false">取引一覧!H13</f>
        <v>1200</v>
      </c>
      <c r="H13" s="6" t="n">
        <f aca="false">取引一覧!I13</f>
        <v>13200</v>
      </c>
      <c r="I13" s="5" t="s">
        <v>15</v>
      </c>
      <c r="J13" s="5" t="s">
        <v>89</v>
      </c>
      <c r="K13" s="5" t="s">
        <v>90</v>
      </c>
    </row>
    <row r="14" customFormat="false" ht="15" hidden="false" customHeight="false" outlineLevel="0" collapsed="false">
      <c r="A14" s="13" t="s">
        <v>102</v>
      </c>
      <c r="B14" s="13" t="s">
        <v>62</v>
      </c>
      <c r="C14" s="13" t="s">
        <v>87</v>
      </c>
      <c r="D14" s="5" t="s">
        <v>22</v>
      </c>
      <c r="E14" s="13" t="s">
        <v>88</v>
      </c>
      <c r="F14" s="6" t="n">
        <f aca="false">取引一覧!G14</f>
        <v>200000</v>
      </c>
      <c r="G14" s="6" t="n">
        <f aca="false">取引一覧!H14</f>
        <v>20000</v>
      </c>
      <c r="H14" s="6" t="n">
        <f aca="false">取引一覧!I14</f>
        <v>220000</v>
      </c>
      <c r="I14" s="5" t="s">
        <v>14</v>
      </c>
      <c r="J14" s="5" t="s">
        <v>89</v>
      </c>
      <c r="K14" s="5" t="s">
        <v>90</v>
      </c>
    </row>
    <row r="15" customFormat="false" ht="15" hidden="false" customHeight="false" outlineLevel="0" collapsed="false">
      <c r="A15" s="13" t="s">
        <v>103</v>
      </c>
      <c r="B15" s="13" t="s">
        <v>65</v>
      </c>
      <c r="C15" s="13" t="s">
        <v>87</v>
      </c>
      <c r="D15" s="5" t="s">
        <v>22</v>
      </c>
      <c r="E15" s="13" t="s">
        <v>92</v>
      </c>
      <c r="F15" s="6" t="n">
        <f aca="false">取引一覧!G15</f>
        <v>180000</v>
      </c>
      <c r="G15" s="6" t="n">
        <f aca="false">取引一覧!H15</f>
        <v>18000</v>
      </c>
      <c r="H15" s="6" t="n">
        <f aca="false">取引一覧!I15</f>
        <v>198000</v>
      </c>
      <c r="I15" s="5" t="s">
        <v>14</v>
      </c>
      <c r="J15" s="5" t="s">
        <v>89</v>
      </c>
      <c r="K15" s="5" t="s">
        <v>90</v>
      </c>
    </row>
    <row r="16" customFormat="false" ht="15" hidden="false" customHeight="false" outlineLevel="0" collapsed="false">
      <c r="A16" s="13" t="s">
        <v>104</v>
      </c>
      <c r="B16" s="13" t="s">
        <v>68</v>
      </c>
      <c r="C16" s="13" t="s">
        <v>87</v>
      </c>
      <c r="D16" s="5" t="s">
        <v>22</v>
      </c>
      <c r="E16" s="13" t="s">
        <v>94</v>
      </c>
      <c r="F16" s="6" t="n">
        <f aca="false">取引一覧!G16</f>
        <v>60000</v>
      </c>
      <c r="G16" s="6" t="n">
        <f aca="false">取引一覧!H16</f>
        <v>6000</v>
      </c>
      <c r="H16" s="6" t="n">
        <f aca="false">取引一覧!I16</f>
        <v>66000</v>
      </c>
      <c r="I16" s="5" t="s">
        <v>15</v>
      </c>
      <c r="J16" s="5" t="s">
        <v>89</v>
      </c>
      <c r="K16" s="5" t="s">
        <v>90</v>
      </c>
    </row>
    <row r="17" customFormat="false" ht="15" hidden="false" customHeight="false" outlineLevel="0" collapsed="false">
      <c r="A17" s="13" t="s">
        <v>105</v>
      </c>
      <c r="B17" s="13" t="s">
        <v>44</v>
      </c>
      <c r="C17" s="13" t="s">
        <v>87</v>
      </c>
      <c r="D17" s="5" t="s">
        <v>23</v>
      </c>
      <c r="E17" s="5" t="s">
        <v>97</v>
      </c>
      <c r="F17" s="6" t="n">
        <f aca="false">取引一覧!G17</f>
        <v>120000</v>
      </c>
      <c r="G17" s="6" t="n">
        <f aca="false">取引一覧!H17</f>
        <v>12000</v>
      </c>
      <c r="H17" s="6" t="n">
        <f aca="false">取引一覧!I17</f>
        <v>132000</v>
      </c>
      <c r="I17" s="5" t="s">
        <v>14</v>
      </c>
      <c r="J17" s="5" t="s">
        <v>89</v>
      </c>
      <c r="K17" s="5" t="s">
        <v>90</v>
      </c>
    </row>
    <row r="18" customFormat="false" ht="15" hidden="false" customHeight="false" outlineLevel="0" collapsed="false">
      <c r="A18" s="13" t="s">
        <v>106</v>
      </c>
      <c r="B18" s="13" t="s">
        <v>72</v>
      </c>
      <c r="C18" s="13" t="s">
        <v>87</v>
      </c>
      <c r="D18" s="5" t="s">
        <v>22</v>
      </c>
      <c r="E18" s="13" t="s">
        <v>88</v>
      </c>
      <c r="F18" s="6" t="n">
        <f aca="false">取引一覧!G18</f>
        <v>200000</v>
      </c>
      <c r="G18" s="6" t="n">
        <f aca="false">取引一覧!H18</f>
        <v>20000</v>
      </c>
      <c r="H18" s="6" t="n">
        <f aca="false">取引一覧!I18</f>
        <v>220000</v>
      </c>
      <c r="I18" s="5" t="s">
        <v>14</v>
      </c>
      <c r="J18" s="5" t="s">
        <v>89</v>
      </c>
      <c r="K18" s="5" t="s">
        <v>90</v>
      </c>
    </row>
    <row r="19" customFormat="false" ht="15" hidden="false" customHeight="false" outlineLevel="0" collapsed="false">
      <c r="A19" s="13" t="s">
        <v>107</v>
      </c>
      <c r="B19" s="13" t="s">
        <v>49</v>
      </c>
      <c r="C19" s="13" t="s">
        <v>87</v>
      </c>
      <c r="D19" s="5" t="s">
        <v>23</v>
      </c>
      <c r="E19" s="5" t="s">
        <v>97</v>
      </c>
      <c r="F19" s="6" t="n">
        <f aca="false">取引一覧!G19</f>
        <v>6000</v>
      </c>
      <c r="G19" s="6" t="n">
        <f aca="false">取引一覧!H19</f>
        <v>600</v>
      </c>
      <c r="H19" s="6" t="n">
        <f aca="false">取引一覧!I19</f>
        <v>6600</v>
      </c>
      <c r="I19" s="5" t="s">
        <v>15</v>
      </c>
      <c r="J19" s="5" t="s">
        <v>89</v>
      </c>
      <c r="K19" s="5" t="s">
        <v>90</v>
      </c>
    </row>
    <row r="20" customFormat="false" ht="15" hidden="false" customHeight="false" outlineLevel="0" collapsed="false">
      <c r="A20" s="13" t="s">
        <v>108</v>
      </c>
      <c r="B20" s="13" t="s">
        <v>76</v>
      </c>
      <c r="C20" s="13" t="s">
        <v>87</v>
      </c>
      <c r="D20" s="5" t="s">
        <v>22</v>
      </c>
      <c r="E20" s="13" t="s">
        <v>92</v>
      </c>
      <c r="F20" s="6" t="n">
        <f aca="false">取引一覧!G20</f>
        <v>180000</v>
      </c>
      <c r="G20" s="6" t="n">
        <f aca="false">取引一覧!H20</f>
        <v>18000</v>
      </c>
      <c r="H20" s="6" t="n">
        <f aca="false">取引一覧!I20</f>
        <v>198000</v>
      </c>
      <c r="I20" s="5" t="s">
        <v>15</v>
      </c>
      <c r="J20" s="5" t="s">
        <v>89</v>
      </c>
      <c r="K20" s="5" t="s">
        <v>90</v>
      </c>
    </row>
    <row r="21" customFormat="false" ht="15" hidden="false" customHeight="false" outlineLevel="0" collapsed="false">
      <c r="E21" s="10" t="s">
        <v>16</v>
      </c>
      <c r="F21" s="11" t="n">
        <f aca="false">SUM(F6:F20)</f>
        <v>1898000</v>
      </c>
      <c r="G21" s="11" t="n">
        <f aca="false">SUM(G6:G20)</f>
        <v>189800</v>
      </c>
      <c r="H21" s="11" t="n">
        <f aca="false">SUM(H6:H20)</f>
        <v>2087800</v>
      </c>
    </row>
    <row r="23" customFormat="false" ht="15" hidden="false" customHeight="false" outlineLevel="0" collapsed="false">
      <c r="A23" s="14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2026-09-05T15:22:01Z</dcterms:created>
  <dc:creator>openpyxl</dc:creator>
  <dc:description/>
  <dc:language>en-US</dc:language>
  <cp:lastModifiedBy/>
  <dcterms:modified xsi:type="dcterms:W3CDTF">2026-09-05T15:22:01Z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